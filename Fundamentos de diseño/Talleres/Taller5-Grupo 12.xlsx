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CFC88D14E6EE90/Documentos/"/>
    </mc:Choice>
  </mc:AlternateContent>
  <xr:revisionPtr revIDLastSave="0" documentId="8_{21191DFD-707D-45DE-BB97-36426D311A5E}" xr6:coauthVersionLast="47" xr6:coauthVersionMax="47" xr10:uidLastSave="{00000000-0000-0000-0000-000000000000}"/>
  <bookViews>
    <workbookView xWindow="-108" yWindow="-108" windowWidth="23256" windowHeight="13176" xr2:uid="{6FFBB73F-C48D-411E-BBE7-565667F45FE6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" i="1" l="1"/>
  <c r="L7" i="1" s="1"/>
  <c r="P17" i="1"/>
  <c r="D26" i="1" s="1"/>
  <c r="D17" i="1"/>
  <c r="D24" i="1" s="1"/>
  <c r="O8" i="1"/>
  <c r="O9" i="1"/>
  <c r="O10" i="1"/>
  <c r="O11" i="1"/>
  <c r="O12" i="1"/>
  <c r="O13" i="1"/>
  <c r="O14" i="1"/>
  <c r="O15" i="1"/>
  <c r="O16" i="1"/>
  <c r="O7" i="1"/>
  <c r="O17" i="1" s="1"/>
  <c r="I7" i="1"/>
  <c r="I8" i="1" s="1"/>
  <c r="C26" i="1"/>
  <c r="Q16" i="1"/>
  <c r="R16" i="1" s="1"/>
  <c r="Q15" i="1"/>
  <c r="R15" i="1" s="1"/>
  <c r="Q14" i="1"/>
  <c r="R14" i="1" s="1"/>
  <c r="Q13" i="1"/>
  <c r="R13" i="1" s="1"/>
  <c r="Q12" i="1"/>
  <c r="R12" i="1" s="1"/>
  <c r="Q11" i="1"/>
  <c r="R11" i="1" s="1"/>
  <c r="Q10" i="1"/>
  <c r="R10" i="1" s="1"/>
  <c r="Q9" i="1"/>
  <c r="R9" i="1" s="1"/>
  <c r="Q8" i="1"/>
  <c r="R8" i="1" s="1"/>
  <c r="Q7" i="1"/>
  <c r="R7" i="1" s="1"/>
  <c r="K10" i="1"/>
  <c r="L10" i="1" s="1"/>
  <c r="K9" i="1"/>
  <c r="L9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C17" i="1"/>
  <c r="C24" i="1" s="1"/>
  <c r="E8" i="1"/>
  <c r="E7" i="1"/>
  <c r="F7" i="1" s="1"/>
  <c r="K13" i="1" l="1"/>
  <c r="L13" i="1" s="1"/>
  <c r="K12" i="1"/>
  <c r="L12" i="1" s="1"/>
  <c r="K11" i="1"/>
  <c r="K8" i="1"/>
  <c r="L8" i="1" s="1"/>
  <c r="I9" i="1"/>
  <c r="I10" i="1" s="1"/>
  <c r="I11" i="1" s="1"/>
  <c r="I12" i="1" s="1"/>
  <c r="I13" i="1" s="1"/>
  <c r="I14" i="1" s="1"/>
  <c r="I15" i="1" s="1"/>
  <c r="I16" i="1" s="1"/>
  <c r="E17" i="1"/>
  <c r="E24" i="1" s="1"/>
  <c r="E18" i="1"/>
  <c r="F8" i="1"/>
  <c r="Q17" i="1"/>
  <c r="E26" i="1" s="1"/>
  <c r="Q18" i="1"/>
  <c r="R18" i="1"/>
  <c r="R17" i="1"/>
  <c r="F26" i="1" s="1"/>
  <c r="I17" i="1"/>
  <c r="C25" i="1" s="1"/>
  <c r="K14" i="1" l="1"/>
  <c r="L14" i="1" s="1"/>
  <c r="L11" i="1"/>
  <c r="F18" i="1"/>
  <c r="F25" i="1" s="1"/>
  <c r="F17" i="1"/>
  <c r="F24" i="1" s="1"/>
  <c r="K16" i="1" l="1"/>
  <c r="L16" i="1" s="1"/>
  <c r="K15" i="1"/>
  <c r="J17" i="1"/>
  <c r="D25" i="1" s="1"/>
  <c r="L15" i="1" l="1"/>
  <c r="K18" i="1"/>
  <c r="K17" i="1"/>
  <c r="E25" i="1" s="1"/>
  <c r="L18" i="1" l="1"/>
  <c r="L17" i="1"/>
</calcChain>
</file>

<file path=xl/sharedStrings.xml><?xml version="1.0" encoding="utf-8"?>
<sst xmlns="http://schemas.openxmlformats.org/spreadsheetml/2006/main" count="36" uniqueCount="20">
  <si>
    <t>Uso del Multímetro y Fuente de Alimentación — Vr = 5.0 V</t>
  </si>
  <si>
    <t>Valor de referencia (Vr) [V]:</t>
  </si>
  <si>
    <t>N° Medición</t>
  </si>
  <si>
    <t>Vr [V]
(Referencia)</t>
  </si>
  <si>
    <t>Vm [V]
(Medido)</t>
  </si>
  <si>
    <t>Error Absoluto
Ea = |Vm - Vr| [V]</t>
  </si>
  <si>
    <t>Error Relativo
Er = (Ea/Vr)x100 [%]</t>
  </si>
  <si>
    <t>Promedio</t>
  </si>
  <si>
    <t>Máximo</t>
  </si>
  <si>
    <t>Uso del Multímetro y Fuente de Alimentación — Vr = 3.3 V</t>
  </si>
  <si>
    <t>Uso del Multímetro y Fuente de Alimentación — Vr = 12.0 V</t>
  </si>
  <si>
    <t>Resumen — Error del Multímetro</t>
  </si>
  <si>
    <t>Rango de Fuente</t>
  </si>
  <si>
    <t>Vr [V]</t>
  </si>
  <si>
    <t>Vm Promedio [V]</t>
  </si>
  <si>
    <t>Error Absoluto Promedio [V]</t>
  </si>
  <si>
    <t>Error Relativo Promedio [%]</t>
  </si>
  <si>
    <t>5V</t>
  </si>
  <si>
    <t>3.3V</t>
  </si>
  <si>
    <t>12V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</si>
</sst>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\%"/>
  </numFmts>
  <fonts count="6" x14ac:knownFonts="1">
    <font>
      <sz val="11"/>
      <color theme="1"/>
      <name val="Aptos Narrow"/>
      <family val="2"/>
      <scheme val="minor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b/>
      <u/>
      <sz val="14"/>
      <name val="Arial"/>
      <family val="2"/>
    </font>
    <font>
      <b/>
      <u/>
      <sz val="14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2F2F2"/>
        <bgColor rgb="FFFFFFFF"/>
      </patternFill>
    </fill>
    <fill>
      <patternFill patternType="solid">
        <fgColor theme="9" tint="0.79998168889431442"/>
        <bgColor rgb="FF8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Calculo_Error_Multimetro.xlsx" TargetMode="External"/><Relationship Id="rId1" Type="http://schemas.openxmlformats.org/officeDocument/2006/relationships/externalLinkPath" Target="file:///C:\Users\Usuario\Downloads\Calculo_Error_Multimet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5V"/>
      <sheetName val="3.3V"/>
      <sheetName val="12V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5ADB1-D166-4D18-93F3-9B5035780070}">
  <dimension ref="B2:R26"/>
  <sheetViews>
    <sheetView tabSelected="1" topLeftCell="A8" workbookViewId="0">
      <selection activeCell="R25" sqref="R25"/>
    </sheetView>
  </sheetViews>
  <sheetFormatPr baseColWidth="10" defaultRowHeight="14.4" x14ac:dyDescent="0.3"/>
  <cols>
    <col min="1" max="1" width="6.44140625" customWidth="1"/>
    <col min="3" max="3" width="13.33203125" customWidth="1"/>
    <col min="4" max="4" width="13.77734375" customWidth="1"/>
    <col min="5" max="5" width="18.77734375" customWidth="1"/>
    <col min="6" max="6" width="23.5546875" customWidth="1"/>
    <col min="7" max="7" width="6.6640625" customWidth="1"/>
    <col min="9" max="9" width="15.44140625" customWidth="1"/>
    <col min="10" max="10" width="17.6640625" customWidth="1"/>
    <col min="11" max="11" width="15.5546875" customWidth="1"/>
    <col min="12" max="12" width="20.109375" customWidth="1"/>
    <col min="15" max="15" width="14.109375" customWidth="1"/>
    <col min="16" max="16" width="15.77734375" customWidth="1"/>
    <col min="17" max="17" width="19.21875" customWidth="1"/>
    <col min="18" max="18" width="22.33203125" customWidth="1"/>
  </cols>
  <sheetData>
    <row r="2" spans="2:18" ht="17.399999999999999" x14ac:dyDescent="0.3">
      <c r="B2" s="10" t="s">
        <v>0</v>
      </c>
      <c r="C2" s="11"/>
      <c r="D2" s="11"/>
      <c r="E2" s="11"/>
      <c r="F2" s="11"/>
      <c r="H2" s="10" t="s">
        <v>9</v>
      </c>
      <c r="I2" s="10"/>
      <c r="J2" s="10"/>
      <c r="K2" s="10"/>
      <c r="L2" s="10"/>
      <c r="N2" s="10" t="s">
        <v>10</v>
      </c>
      <c r="O2" s="10"/>
      <c r="P2" s="10"/>
      <c r="Q2" s="10"/>
      <c r="R2" s="10"/>
    </row>
    <row r="4" spans="2:18" x14ac:dyDescent="0.3">
      <c r="B4" s="12" t="s">
        <v>1</v>
      </c>
      <c r="C4" s="12"/>
      <c r="D4" s="1">
        <v>5</v>
      </c>
      <c r="H4" s="12" t="s">
        <v>1</v>
      </c>
      <c r="I4" s="12"/>
      <c r="J4" s="1">
        <v>3.3</v>
      </c>
      <c r="N4" s="12" t="s">
        <v>1</v>
      </c>
      <c r="O4" s="12"/>
      <c r="P4" s="1">
        <v>12</v>
      </c>
    </row>
    <row r="6" spans="2:18" ht="39.6" x14ac:dyDescent="0.3"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H6" s="2" t="s">
        <v>2</v>
      </c>
      <c r="I6" s="2" t="s">
        <v>3</v>
      </c>
      <c r="J6" s="2" t="s">
        <v>4</v>
      </c>
      <c r="K6" s="2" t="s">
        <v>5</v>
      </c>
      <c r="L6" s="2" t="s">
        <v>6</v>
      </c>
      <c r="N6" s="2" t="s">
        <v>2</v>
      </c>
      <c r="O6" s="2" t="s">
        <v>3</v>
      </c>
      <c r="P6" s="2" t="s">
        <v>4</v>
      </c>
      <c r="Q6" s="2" t="s">
        <v>5</v>
      </c>
      <c r="R6" s="2" t="s">
        <v>6</v>
      </c>
    </row>
    <row r="7" spans="2:18" x14ac:dyDescent="0.3">
      <c r="B7" s="3">
        <v>1</v>
      </c>
      <c r="C7" s="4">
        <v>5</v>
      </c>
      <c r="D7" s="5">
        <v>5.01</v>
      </c>
      <c r="E7" s="4">
        <f t="shared" ref="E7:E16" si="0">IF(D7="","",ABS(D7-C7))</f>
        <v>9.9999999999997868E-3</v>
      </c>
      <c r="F7" s="6">
        <f>IF(D7="","",IF(C7=0,"",(E7/C7)*100))</f>
        <v>0.19999999999999576</v>
      </c>
      <c r="H7" s="3">
        <v>1</v>
      </c>
      <c r="I7" s="4">
        <f>J4</f>
        <v>3.3</v>
      </c>
      <c r="J7" s="5">
        <v>3.3155999999999999</v>
      </c>
      <c r="K7" s="4">
        <f>IF(J7="","",ABS(J7-I7))</f>
        <v>1.5600000000000058E-2</v>
      </c>
      <c r="L7" s="6">
        <f t="shared" ref="L7:L16" si="1">IF(J7="","",IF(I7=0,"",(K7/I7)*100))</f>
        <v>0.47272727272727449</v>
      </c>
      <c r="N7" s="3">
        <v>1</v>
      </c>
      <c r="O7" s="4">
        <f>$P$4</f>
        <v>12</v>
      </c>
      <c r="P7" s="5">
        <v>12.01</v>
      </c>
      <c r="Q7" s="4">
        <f t="shared" ref="Q7:Q16" si="2">IF(P7="","",ABS(P7-O7))</f>
        <v>9.9999999999997868E-3</v>
      </c>
      <c r="R7" s="6">
        <f t="shared" ref="R7:R16" si="3">IF(P7="","",IF(O7=0,"",(Q7/O7)*100))</f>
        <v>8.3333333333331566E-2</v>
      </c>
    </row>
    <row r="8" spans="2:18" x14ac:dyDescent="0.3">
      <c r="B8" s="3">
        <v>2</v>
      </c>
      <c r="C8" s="4">
        <v>5</v>
      </c>
      <c r="D8" s="5">
        <v>5.0090000000000003</v>
      </c>
      <c r="E8" s="4">
        <f t="shared" si="0"/>
        <v>9.0000000000003411E-3</v>
      </c>
      <c r="F8" s="6">
        <f t="shared" ref="F8:F16" si="4">IF(D8="","",IF(C8=0,"",(E8/C8)*100))</f>
        <v>0.18000000000000682</v>
      </c>
      <c r="H8" s="3">
        <v>2</v>
      </c>
      <c r="I8" s="4">
        <f>I7</f>
        <v>3.3</v>
      </c>
      <c r="J8" s="5">
        <v>3.3540000000000001</v>
      </c>
      <c r="K8" s="4">
        <f t="shared" ref="K8:K16" si="5">IF(J8="","",ABS(J8-I8))</f>
        <v>5.400000000000027E-2</v>
      </c>
      <c r="L8" s="6">
        <f t="shared" si="1"/>
        <v>1.6363636363636445</v>
      </c>
      <c r="N8" s="3">
        <v>2</v>
      </c>
      <c r="O8" s="4">
        <f t="shared" ref="O8:O16" si="6">$P$4</f>
        <v>12</v>
      </c>
      <c r="P8" s="5">
        <v>12.11</v>
      </c>
      <c r="Q8" s="4">
        <f t="shared" si="2"/>
        <v>0.10999999999999943</v>
      </c>
      <c r="R8" s="6">
        <f t="shared" si="3"/>
        <v>0.91666666666666197</v>
      </c>
    </row>
    <row r="9" spans="2:18" x14ac:dyDescent="0.3">
      <c r="B9" s="3">
        <v>3</v>
      </c>
      <c r="C9" s="4">
        <v>5</v>
      </c>
      <c r="D9" s="5">
        <v>5.0069999999999997</v>
      </c>
      <c r="E9" s="4">
        <f>IF(D9="","",ABS(D9-C9))</f>
        <v>6.9999999999996732E-3</v>
      </c>
      <c r="F9" s="6">
        <f>IF(D9="","",IF(C9=0,"",(E9/C9)*100))</f>
        <v>0.13999999999999346</v>
      </c>
      <c r="H9" s="3">
        <v>3</v>
      </c>
      <c r="I9" s="4">
        <f>I8</f>
        <v>3.3</v>
      </c>
      <c r="J9" s="5">
        <v>3.355</v>
      </c>
      <c r="K9" s="4">
        <f t="shared" si="5"/>
        <v>5.500000000000016E-2</v>
      </c>
      <c r="L9" s="6">
        <f t="shared" si="1"/>
        <v>1.6666666666666714</v>
      </c>
      <c r="N9" s="3">
        <v>3</v>
      </c>
      <c r="O9" s="4">
        <f t="shared" si="6"/>
        <v>12</v>
      </c>
      <c r="P9" s="5">
        <v>11.72</v>
      </c>
      <c r="Q9" s="4">
        <f t="shared" si="2"/>
        <v>0.27999999999999936</v>
      </c>
      <c r="R9" s="6">
        <f t="shared" si="3"/>
        <v>2.3333333333333277</v>
      </c>
    </row>
    <row r="10" spans="2:18" x14ac:dyDescent="0.3">
      <c r="B10" s="3">
        <v>4</v>
      </c>
      <c r="C10" s="4">
        <v>5</v>
      </c>
      <c r="D10" s="5">
        <v>5.0049999999999999</v>
      </c>
      <c r="E10" s="4">
        <f>IF(D10="","",ABS(D10-C10))</f>
        <v>4.9999999999998934E-3</v>
      </c>
      <c r="F10" s="6">
        <f>IF(D10="","",IF(C10=0,"",(E10/C10)*100))</f>
        <v>9.9999999999997882E-2</v>
      </c>
      <c r="H10" s="3">
        <v>4</v>
      </c>
      <c r="I10" s="4">
        <f>I9</f>
        <v>3.3</v>
      </c>
      <c r="J10" s="5">
        <v>3.3559999999999999</v>
      </c>
      <c r="K10" s="4">
        <f t="shared" si="5"/>
        <v>5.600000000000005E-2</v>
      </c>
      <c r="L10" s="6">
        <f t="shared" si="1"/>
        <v>1.6969696969696986</v>
      </c>
      <c r="N10" s="3">
        <v>4</v>
      </c>
      <c r="O10" s="4">
        <f t="shared" si="6"/>
        <v>12</v>
      </c>
      <c r="P10" s="5">
        <v>11.96</v>
      </c>
      <c r="Q10" s="4">
        <f t="shared" si="2"/>
        <v>3.9999999999999147E-2</v>
      </c>
      <c r="R10" s="6">
        <f t="shared" si="3"/>
        <v>0.33333333333332626</v>
      </c>
    </row>
    <row r="11" spans="2:18" x14ac:dyDescent="0.3">
      <c r="B11" s="3">
        <v>5</v>
      </c>
      <c r="C11" s="4">
        <v>5</v>
      </c>
      <c r="D11" s="5">
        <v>5.0019999999999998</v>
      </c>
      <c r="E11" s="4">
        <f t="shared" si="0"/>
        <v>1.9999999999997797E-3</v>
      </c>
      <c r="F11" s="6">
        <f t="shared" si="4"/>
        <v>3.9999999999995595E-2</v>
      </c>
      <c r="H11" s="3">
        <v>5</v>
      </c>
      <c r="I11" s="4">
        <f t="shared" ref="I11:I16" si="7">I10</f>
        <v>3.3</v>
      </c>
      <c r="J11" s="5">
        <v>3.355</v>
      </c>
      <c r="K11" s="4">
        <f t="shared" si="5"/>
        <v>5.500000000000016E-2</v>
      </c>
      <c r="L11" s="6">
        <f t="shared" si="1"/>
        <v>1.6666666666666714</v>
      </c>
      <c r="N11" s="3">
        <v>5</v>
      </c>
      <c r="O11" s="4">
        <f t="shared" si="6"/>
        <v>12</v>
      </c>
      <c r="P11" s="5">
        <v>12.11</v>
      </c>
      <c r="Q11" s="4">
        <f t="shared" si="2"/>
        <v>0.10999999999999943</v>
      </c>
      <c r="R11" s="6">
        <f t="shared" si="3"/>
        <v>0.91666666666666197</v>
      </c>
    </row>
    <row r="12" spans="2:18" x14ac:dyDescent="0.3">
      <c r="B12" s="3">
        <v>6</v>
      </c>
      <c r="C12" s="4">
        <v>5</v>
      </c>
      <c r="D12" s="5">
        <v>5.0060000000000002</v>
      </c>
      <c r="E12" s="4">
        <f t="shared" si="0"/>
        <v>6.0000000000002274E-3</v>
      </c>
      <c r="F12" s="6">
        <f t="shared" si="4"/>
        <v>0.12000000000000455</v>
      </c>
      <c r="H12" s="3">
        <v>6</v>
      </c>
      <c r="I12" s="4">
        <f t="shared" si="7"/>
        <v>3.3</v>
      </c>
      <c r="J12" s="5">
        <v>3.3519999999999999</v>
      </c>
      <c r="K12" s="4">
        <f t="shared" si="5"/>
        <v>5.2000000000000046E-2</v>
      </c>
      <c r="L12" s="6">
        <f t="shared" si="1"/>
        <v>1.5757575757575772</v>
      </c>
      <c r="N12" s="3">
        <v>6</v>
      </c>
      <c r="O12" s="4">
        <f t="shared" si="6"/>
        <v>12</v>
      </c>
      <c r="P12" s="5">
        <v>12.1</v>
      </c>
      <c r="Q12" s="4">
        <f t="shared" si="2"/>
        <v>9.9999999999999645E-2</v>
      </c>
      <c r="R12" s="6">
        <f t="shared" si="3"/>
        <v>0.83333333333333037</v>
      </c>
    </row>
    <row r="13" spans="2:18" x14ac:dyDescent="0.3">
      <c r="B13" s="3">
        <v>7</v>
      </c>
      <c r="C13" s="4">
        <v>5</v>
      </c>
      <c r="D13" s="5">
        <v>5.0090000000000003</v>
      </c>
      <c r="E13" s="4">
        <f t="shared" si="0"/>
        <v>9.0000000000003411E-3</v>
      </c>
      <c r="F13" s="6">
        <f t="shared" si="4"/>
        <v>0.18000000000000682</v>
      </c>
      <c r="H13" s="3">
        <v>7</v>
      </c>
      <c r="I13" s="4">
        <f t="shared" si="7"/>
        <v>3.3</v>
      </c>
      <c r="J13" s="5">
        <v>3.355</v>
      </c>
      <c r="K13" s="4">
        <f t="shared" si="5"/>
        <v>5.500000000000016E-2</v>
      </c>
      <c r="L13" s="6">
        <f t="shared" si="1"/>
        <v>1.6666666666666714</v>
      </c>
      <c r="N13" s="3">
        <v>7</v>
      </c>
      <c r="O13" s="4">
        <f t="shared" si="6"/>
        <v>12</v>
      </c>
      <c r="P13" s="5">
        <v>12.09</v>
      </c>
      <c r="Q13" s="4">
        <f t="shared" si="2"/>
        <v>8.9999999999999858E-2</v>
      </c>
      <c r="R13" s="6">
        <f t="shared" si="3"/>
        <v>0.74999999999999889</v>
      </c>
    </row>
    <row r="14" spans="2:18" x14ac:dyDescent="0.3">
      <c r="B14" s="3">
        <v>8</v>
      </c>
      <c r="C14" s="4">
        <v>5</v>
      </c>
      <c r="D14" s="5">
        <v>5.0090000000000003</v>
      </c>
      <c r="E14" s="4">
        <f t="shared" si="0"/>
        <v>9.0000000000003411E-3</v>
      </c>
      <c r="F14" s="6">
        <f t="shared" si="4"/>
        <v>0.18000000000000682</v>
      </c>
      <c r="H14" s="3">
        <v>8</v>
      </c>
      <c r="I14" s="4">
        <f t="shared" si="7"/>
        <v>3.3</v>
      </c>
      <c r="J14" s="5">
        <v>3.3570000000000002</v>
      </c>
      <c r="K14" s="4">
        <f t="shared" si="5"/>
        <v>5.7000000000000384E-2</v>
      </c>
      <c r="L14" s="6">
        <f t="shared" si="1"/>
        <v>1.7272727272727391</v>
      </c>
      <c r="N14" s="3">
        <v>8</v>
      </c>
      <c r="O14" s="4">
        <f t="shared" si="6"/>
        <v>12</v>
      </c>
      <c r="P14" s="5">
        <v>12.11</v>
      </c>
      <c r="Q14" s="4">
        <f t="shared" si="2"/>
        <v>0.10999999999999943</v>
      </c>
      <c r="R14" s="6">
        <f t="shared" si="3"/>
        <v>0.91666666666666197</v>
      </c>
    </row>
    <row r="15" spans="2:18" x14ac:dyDescent="0.3">
      <c r="B15" s="3">
        <v>9</v>
      </c>
      <c r="C15" s="4">
        <v>5</v>
      </c>
      <c r="D15" s="5">
        <v>5.008</v>
      </c>
      <c r="E15" s="4">
        <f t="shared" si="0"/>
        <v>8.0000000000000071E-3</v>
      </c>
      <c r="F15" s="6">
        <f t="shared" si="4"/>
        <v>0.16000000000000014</v>
      </c>
      <c r="H15" s="3">
        <v>9</v>
      </c>
      <c r="I15" s="4">
        <f t="shared" si="7"/>
        <v>3.3</v>
      </c>
      <c r="J15" s="5">
        <v>3.3490000000000002</v>
      </c>
      <c r="K15" s="4">
        <f t="shared" si="5"/>
        <v>4.9000000000000377E-2</v>
      </c>
      <c r="L15" s="6">
        <f t="shared" si="1"/>
        <v>1.4848484848484964</v>
      </c>
      <c r="N15" s="3">
        <v>9</v>
      </c>
      <c r="O15" s="4">
        <f t="shared" si="6"/>
        <v>12</v>
      </c>
      <c r="P15" s="5">
        <v>12.11</v>
      </c>
      <c r="Q15" s="4">
        <f t="shared" si="2"/>
        <v>0.10999999999999943</v>
      </c>
      <c r="R15" s="6">
        <f t="shared" si="3"/>
        <v>0.91666666666666197</v>
      </c>
    </row>
    <row r="16" spans="2:18" x14ac:dyDescent="0.3">
      <c r="B16" s="3">
        <v>10</v>
      </c>
      <c r="C16" s="4">
        <v>5</v>
      </c>
      <c r="D16" s="5">
        <v>5.0069999999999997</v>
      </c>
      <c r="E16" s="4">
        <f t="shared" si="0"/>
        <v>6.9999999999996732E-3</v>
      </c>
      <c r="F16" s="6">
        <f t="shared" si="4"/>
        <v>0.13999999999999346</v>
      </c>
      <c r="H16" s="3">
        <v>10</v>
      </c>
      <c r="I16" s="4">
        <f t="shared" si="7"/>
        <v>3.3</v>
      </c>
      <c r="J16" s="5">
        <v>3.363</v>
      </c>
      <c r="K16" s="4">
        <f t="shared" si="5"/>
        <v>6.3000000000000167E-2</v>
      </c>
      <c r="L16" s="6">
        <f t="shared" si="1"/>
        <v>1.9090909090909141</v>
      </c>
      <c r="N16" s="3">
        <v>10</v>
      </c>
      <c r="O16" s="4">
        <f t="shared" si="6"/>
        <v>12</v>
      </c>
      <c r="P16" s="5">
        <v>12.12</v>
      </c>
      <c r="Q16" s="4">
        <f t="shared" si="2"/>
        <v>0.11999999999999922</v>
      </c>
      <c r="R16" s="6">
        <f t="shared" si="3"/>
        <v>0.99999999999999345</v>
      </c>
    </row>
    <row r="17" spans="2:18" x14ac:dyDescent="0.3">
      <c r="B17" s="7" t="s">
        <v>7</v>
      </c>
      <c r="C17" s="8">
        <f>AVERAGE(C7:C16)</f>
        <v>5</v>
      </c>
      <c r="D17" s="8">
        <f>IFERROR(AVERAGE(D7:D16),"")</f>
        <v>5.0072000000000001</v>
      </c>
      <c r="E17" s="8">
        <f>IFERROR(AVERAGE(E7:E16),"")</f>
        <v>7.2000000000000067E-3</v>
      </c>
      <c r="F17" s="9">
        <f>IFERROR(AVERAGE(F7:F16),"")</f>
        <v>0.14400000000000013</v>
      </c>
      <c r="H17" s="7" t="s">
        <v>7</v>
      </c>
      <c r="I17" s="8">
        <f>AVERAGE(I7:I16)</f>
        <v>3.3</v>
      </c>
      <c r="J17" s="8">
        <f>IFERROR(AVERAGE(J7:J16),"")</f>
        <v>3.3511600000000001</v>
      </c>
      <c r="K17" s="8">
        <f>IFERROR(AVERAGE(K7:K16),"")</f>
        <v>5.1160000000000184E-2</v>
      </c>
      <c r="L17" s="9">
        <f>IFERROR(AVERAGE(L7:L16),"")</f>
        <v>1.5503030303030358</v>
      </c>
      <c r="N17" s="7" t="s">
        <v>7</v>
      </c>
      <c r="O17" s="8">
        <f>AVERAGE(O7:O16)</f>
        <v>12</v>
      </c>
      <c r="P17" s="8">
        <f>IFERROR(AVERAGE(P7:P16),"")</f>
        <v>12.044</v>
      </c>
      <c r="Q17" s="8">
        <f>IFERROR(AVERAGE(Q7:Q16),"")</f>
        <v>0.10799999999999947</v>
      </c>
      <c r="R17" s="9">
        <f>IFERROR(AVERAGE(R7:R16),"")</f>
        <v>0.89999999999999558</v>
      </c>
    </row>
    <row r="18" spans="2:18" x14ac:dyDescent="0.3">
      <c r="B18" s="7" t="s">
        <v>8</v>
      </c>
      <c r="C18" s="7"/>
      <c r="D18" s="7"/>
      <c r="E18" s="8">
        <f>IFERROR(MAX(E7:E16),"")</f>
        <v>9.9999999999997868E-3</v>
      </c>
      <c r="F18" s="9">
        <f>IFERROR(MAX(F7:F16),"")</f>
        <v>0.19999999999999576</v>
      </c>
      <c r="H18" s="7" t="s">
        <v>8</v>
      </c>
      <c r="I18" s="7"/>
      <c r="J18" s="7"/>
      <c r="K18" s="8">
        <f>IFERROR(MAX(K7:K16),"")</f>
        <v>6.3000000000000167E-2</v>
      </c>
      <c r="L18" s="9">
        <f>IFERROR(MAX(L7:L16),"")</f>
        <v>1.9090909090909141</v>
      </c>
      <c r="N18" s="7" t="s">
        <v>8</v>
      </c>
      <c r="O18" s="7"/>
      <c r="P18" s="7"/>
      <c r="Q18" s="8">
        <f>IFERROR(MAX(Q7:Q16),"")</f>
        <v>0.27999999999999936</v>
      </c>
      <c r="R18" s="9">
        <f>IFERROR(MAX(R7:R16),"")</f>
        <v>2.3333333333333277</v>
      </c>
    </row>
    <row r="21" spans="2:18" ht="17.399999999999999" x14ac:dyDescent="0.3">
      <c r="B21" s="10" t="s">
        <v>11</v>
      </c>
      <c r="C21" s="11"/>
      <c r="D21" s="11"/>
      <c r="E21" s="11"/>
      <c r="F21" s="11"/>
    </row>
    <row r="23" spans="2:18" ht="52.8" x14ac:dyDescent="0.3">
      <c r="B23" s="2" t="s">
        <v>12</v>
      </c>
      <c r="C23" s="2" t="s">
        <v>13</v>
      </c>
      <c r="D23" s="2" t="s">
        <v>14</v>
      </c>
      <c r="E23" s="2" t="s">
        <v>15</v>
      </c>
      <c r="F23" s="2" t="s">
        <v>16</v>
      </c>
    </row>
    <row r="24" spans="2:18" x14ac:dyDescent="0.3">
      <c r="B24" s="3" t="s">
        <v>17</v>
      </c>
      <c r="C24" s="4">
        <f>C17</f>
        <v>5</v>
      </c>
      <c r="D24" s="4">
        <f>D17</f>
        <v>5.0072000000000001</v>
      </c>
      <c r="E24" s="4">
        <f>E17</f>
        <v>7.2000000000000067E-3</v>
      </c>
      <c r="F24" s="6">
        <f>F17</f>
        <v>0.14400000000000013</v>
      </c>
    </row>
    <row r="25" spans="2:18" x14ac:dyDescent="0.3">
      <c r="B25" s="3" t="s">
        <v>18</v>
      </c>
      <c r="C25" s="4">
        <f>I17</f>
        <v>3.3</v>
      </c>
      <c r="D25" s="4">
        <f>J17</f>
        <v>3.3511600000000001</v>
      </c>
      <c r="E25" s="4">
        <f t="shared" ref="E25" si="8">K17</f>
        <v>5.1160000000000184E-2</v>
      </c>
      <c r="F25" s="6">
        <f t="shared" ref="F25" si="9">F18</f>
        <v>0.19999999999999576</v>
      </c>
    </row>
    <row r="26" spans="2:18" x14ac:dyDescent="0.3">
      <c r="B26" s="3" t="s">
        <v>19</v>
      </c>
      <c r="C26" s="4">
        <f>'[1]12V'!C36</f>
        <v>0</v>
      </c>
      <c r="D26" s="4">
        <f>P17</f>
        <v>12.044</v>
      </c>
      <c r="E26" s="4">
        <f t="shared" ref="E26" si="10">Q17</f>
        <v>0.10799999999999947</v>
      </c>
      <c r="F26" s="6">
        <f>R17</f>
        <v>0.89999999999999558</v>
      </c>
    </row>
  </sheetData>
  <mergeCells count="7">
    <mergeCell ref="N2:R2"/>
    <mergeCell ref="N4:O4"/>
    <mergeCell ref="B21:F21"/>
    <mergeCell ref="B2:F2"/>
    <mergeCell ref="B4:C4"/>
    <mergeCell ref="H2:L2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alimer venegas cartolin</dc:creator>
  <cp:lastModifiedBy>Felipe Loarte Nathals</cp:lastModifiedBy>
  <dcterms:created xsi:type="dcterms:W3CDTF">2026-09-16T15:03:54Z</dcterms:created>
  <dcterms:modified xsi:type="dcterms:W3CDTF">2026-09-17T17:16:41Z</dcterms:modified>
</cp:coreProperties>
</file>